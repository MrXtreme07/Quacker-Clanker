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seblr-my.sharepoint.com/personal/bl_en_u4rae23003_bl_students_amrita_edu/Documents/College/Duck/"/>
    </mc:Choice>
  </mc:AlternateContent>
  <xr:revisionPtr revIDLastSave="127" documentId="8_{059E5F43-FE72-450E-8E5C-434BF849694A}" xr6:coauthVersionLast="47" xr6:coauthVersionMax="47" xr10:uidLastSave="{C1D426BE-6345-4997-B65F-DFADEDB44483}"/>
  <bookViews>
    <workbookView xWindow="-108" yWindow="-108" windowWidth="23256" windowHeight="12456" xr2:uid="{E7439860-74A8-42DE-9746-8BE225D3462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F3" i="1"/>
  <c r="F4" i="1"/>
  <c r="F5" i="1"/>
  <c r="F6" i="1"/>
  <c r="F7" i="1"/>
  <c r="F8" i="1"/>
  <c r="F9" i="1"/>
  <c r="F10" i="1"/>
  <c r="F11" i="1"/>
  <c r="F13" i="1"/>
  <c r="F14" i="1"/>
  <c r="L9" i="1"/>
  <c r="F2" i="1"/>
  <c r="F16" i="1" l="1"/>
  <c r="L10" i="1" s="1"/>
</calcChain>
</file>

<file path=xl/sharedStrings.xml><?xml version="1.0" encoding="utf-8"?>
<sst xmlns="http://schemas.openxmlformats.org/spreadsheetml/2006/main" count="41" uniqueCount="41">
  <si>
    <t>Sl. No.</t>
  </si>
  <si>
    <t>Date</t>
  </si>
  <si>
    <t>Component Name</t>
  </si>
  <si>
    <t>Qty</t>
  </si>
  <si>
    <t>Price</t>
  </si>
  <si>
    <t>Total Price</t>
  </si>
  <si>
    <t>Link</t>
  </si>
  <si>
    <t>Remarks</t>
  </si>
  <si>
    <t>Rasberry Pi 5</t>
  </si>
  <si>
    <t>Robu.in</t>
  </si>
  <si>
    <t>8GB RAM + Charger + Cooler</t>
  </si>
  <si>
    <t>AS5600</t>
  </si>
  <si>
    <t>https://www.flyrobo.in/as5600-magnetic-encoder-induction-angle-sensor</t>
  </si>
  <si>
    <t>Absolute Magnetic Encoder + Delivery Charges</t>
  </si>
  <si>
    <t>Solder Wire</t>
  </si>
  <si>
    <t>https://www.amazon.in/gp/product/B0CL7WFXJ8/ref=ox_sc_act_title_1?smid=A35CZV6ZGFRV&amp;psc=1</t>
  </si>
  <si>
    <t>99.3/0.7 - 20g</t>
  </si>
  <si>
    <t>Soldering Iron</t>
  </si>
  <si>
    <t>https://robu.in/product/pro-range-adjustable-temperature-soldering-iron-60-w-eu/</t>
  </si>
  <si>
    <t>60W EU</t>
  </si>
  <si>
    <t>Anirudh</t>
  </si>
  <si>
    <t>Soldering Iron Stand</t>
  </si>
  <si>
    <t>https://robu.in/product/soldering-iron-stand-with-cleaning-sponge/</t>
  </si>
  <si>
    <t>Stand with Cleaning Sponge</t>
  </si>
  <si>
    <t>Nihal</t>
  </si>
  <si>
    <t>Venkat</t>
  </si>
  <si>
    <t>Total Money</t>
  </si>
  <si>
    <t>Money Left</t>
  </si>
  <si>
    <t>Total</t>
  </si>
  <si>
    <t>Ball Bearing (Multiple)</t>
  </si>
  <si>
    <t>https://omrook.com</t>
  </si>
  <si>
    <t>6801 ZZ, 6802 ZZ, 6807 ZZ, (686 ZZ)*6 + Shipping</t>
  </si>
  <si>
    <t>M4 Threaded Screw Inserts</t>
  </si>
  <si>
    <t>M3 Threaded Screw Inserts</t>
  </si>
  <si>
    <t>MultiMeter</t>
  </si>
  <si>
    <t>Bills</t>
  </si>
  <si>
    <t>PETG 3D Printer Filament</t>
  </si>
  <si>
    <t>White</t>
  </si>
  <si>
    <t>Screws and Inserts</t>
  </si>
  <si>
    <t>Screws, Inserts and Magnets</t>
  </si>
  <si>
    <t>OnlyScrews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</si>
</sst>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2" fillId="0" borderId="0" xfId="1"/>
    <xf numFmtId="0" fontId="1" fillId="0" borderId="0" xfId="0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mroo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FD439-7064-4EC4-9939-FB45E41C4017}">
  <dimension ref="A1:L16"/>
  <sheetViews>
    <sheetView tabSelected="1" workbookViewId="0">
      <selection activeCell="H12" sqref="H12"/>
    </sheetView>
  </sheetViews>
  <sheetFormatPr defaultRowHeight="14.4" x14ac:dyDescent="0.3"/>
  <cols>
    <col min="2" max="2" width="15.109375" style="2" customWidth="1"/>
    <col min="3" max="3" width="26.44140625" customWidth="1"/>
    <col min="7" max="7" width="17.109375" customWidth="1"/>
    <col min="8" max="8" width="43.33203125" customWidth="1"/>
    <col min="11" max="11" width="16.5546875" customWidth="1"/>
  </cols>
  <sheetData>
    <row r="1" spans="1:12" s="2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35</v>
      </c>
    </row>
    <row r="2" spans="1:12" x14ac:dyDescent="0.3">
      <c r="A2">
        <v>1</v>
      </c>
      <c r="C2" t="s">
        <v>8</v>
      </c>
      <c r="D2">
        <v>1</v>
      </c>
      <c r="E2">
        <v>12000</v>
      </c>
      <c r="F2">
        <f>D2*E2</f>
        <v>12000</v>
      </c>
      <c r="G2" t="s">
        <v>9</v>
      </c>
      <c r="H2" t="s">
        <v>10</v>
      </c>
    </row>
    <row r="3" spans="1:12" x14ac:dyDescent="0.3">
      <c r="A3">
        <v>2</v>
      </c>
      <c r="B3" s="3">
        <v>46063</v>
      </c>
      <c r="C3" t="s">
        <v>11</v>
      </c>
      <c r="D3">
        <v>1</v>
      </c>
      <c r="E3">
        <v>206</v>
      </c>
      <c r="F3">
        <f t="shared" ref="F3:F14" si="0">D3*E3</f>
        <v>206</v>
      </c>
      <c r="G3" t="s">
        <v>12</v>
      </c>
      <c r="H3" t="s">
        <v>13</v>
      </c>
    </row>
    <row r="4" spans="1:12" x14ac:dyDescent="0.3">
      <c r="A4">
        <v>3</v>
      </c>
      <c r="B4" s="3">
        <v>46063</v>
      </c>
      <c r="C4" t="s">
        <v>14</v>
      </c>
      <c r="D4">
        <v>1</v>
      </c>
      <c r="E4">
        <v>305</v>
      </c>
      <c r="F4">
        <f t="shared" si="0"/>
        <v>305</v>
      </c>
      <c r="G4" t="s">
        <v>15</v>
      </c>
      <c r="H4" t="s">
        <v>16</v>
      </c>
    </row>
    <row r="5" spans="1:12" x14ac:dyDescent="0.3">
      <c r="A5">
        <v>4</v>
      </c>
      <c r="B5" s="6">
        <v>46063</v>
      </c>
      <c r="C5" t="s">
        <v>17</v>
      </c>
      <c r="D5">
        <v>1</v>
      </c>
      <c r="E5">
        <v>327</v>
      </c>
      <c r="F5">
        <f t="shared" si="0"/>
        <v>327</v>
      </c>
      <c r="G5" t="s">
        <v>18</v>
      </c>
      <c r="H5" t="s">
        <v>19</v>
      </c>
      <c r="K5" t="s">
        <v>20</v>
      </c>
      <c r="L5">
        <v>22000</v>
      </c>
    </row>
    <row r="6" spans="1:12" x14ac:dyDescent="0.3">
      <c r="A6">
        <v>5</v>
      </c>
      <c r="B6" s="7"/>
      <c r="C6" t="s">
        <v>21</v>
      </c>
      <c r="D6">
        <v>1</v>
      </c>
      <c r="E6">
        <v>107</v>
      </c>
      <c r="F6">
        <f t="shared" si="0"/>
        <v>107</v>
      </c>
      <c r="G6" t="s">
        <v>22</v>
      </c>
      <c r="H6" t="s">
        <v>23</v>
      </c>
      <c r="K6" t="s">
        <v>24</v>
      </c>
    </row>
    <row r="7" spans="1:12" x14ac:dyDescent="0.3">
      <c r="A7">
        <v>6</v>
      </c>
      <c r="B7" s="3">
        <v>46067</v>
      </c>
      <c r="C7" t="s">
        <v>29</v>
      </c>
      <c r="D7">
        <v>1</v>
      </c>
      <c r="E7">
        <v>312</v>
      </c>
      <c r="F7">
        <f t="shared" si="0"/>
        <v>312</v>
      </c>
      <c r="G7" s="4" t="s">
        <v>30</v>
      </c>
      <c r="H7" t="s">
        <v>31</v>
      </c>
      <c r="K7" t="s">
        <v>25</v>
      </c>
    </row>
    <row r="8" spans="1:12" x14ac:dyDescent="0.3">
      <c r="A8">
        <v>7</v>
      </c>
      <c r="B8" s="8">
        <v>46068</v>
      </c>
      <c r="C8" t="s">
        <v>32</v>
      </c>
      <c r="D8">
        <v>1</v>
      </c>
      <c r="E8">
        <v>30</v>
      </c>
      <c r="F8">
        <f t="shared" si="0"/>
        <v>30</v>
      </c>
    </row>
    <row r="9" spans="1:12" x14ac:dyDescent="0.3">
      <c r="A9">
        <v>8</v>
      </c>
      <c r="B9" s="9"/>
      <c r="C9" t="s">
        <v>33</v>
      </c>
      <c r="D9">
        <v>1</v>
      </c>
      <c r="E9">
        <v>35</v>
      </c>
      <c r="F9">
        <f t="shared" si="0"/>
        <v>35</v>
      </c>
      <c r="K9" t="s">
        <v>26</v>
      </c>
      <c r="L9">
        <f>SUM(L5:L7)</f>
        <v>22000</v>
      </c>
    </row>
    <row r="10" spans="1:12" x14ac:dyDescent="0.3">
      <c r="A10">
        <v>9</v>
      </c>
      <c r="B10" s="9"/>
      <c r="C10" t="s">
        <v>34</v>
      </c>
      <c r="D10">
        <v>1</v>
      </c>
      <c r="E10">
        <v>207</v>
      </c>
      <c r="F10">
        <f t="shared" si="0"/>
        <v>207</v>
      </c>
      <c r="K10" t="s">
        <v>27</v>
      </c>
      <c r="L10">
        <f>(L9-F16)</f>
        <v>7555</v>
      </c>
    </row>
    <row r="11" spans="1:12" x14ac:dyDescent="0.3">
      <c r="A11">
        <v>10</v>
      </c>
      <c r="C11" t="s">
        <v>36</v>
      </c>
      <c r="D11">
        <v>1</v>
      </c>
      <c r="E11">
        <v>644</v>
      </c>
      <c r="F11">
        <f t="shared" si="0"/>
        <v>644</v>
      </c>
      <c r="H11" t="s">
        <v>37</v>
      </c>
    </row>
    <row r="12" spans="1:12" x14ac:dyDescent="0.3">
      <c r="A12">
        <v>11</v>
      </c>
      <c r="B12" s="3">
        <v>46104</v>
      </c>
      <c r="C12" t="s">
        <v>38</v>
      </c>
      <c r="D12">
        <v>1</v>
      </c>
      <c r="E12">
        <v>272</v>
      </c>
      <c r="F12">
        <f t="shared" si="0"/>
        <v>272</v>
      </c>
      <c r="G12" t="s">
        <v>40</v>
      </c>
      <c r="H12" t="s">
        <v>39</v>
      </c>
    </row>
    <row r="13" spans="1:12" x14ac:dyDescent="0.3">
      <c r="F13">
        <f t="shared" si="0"/>
        <v>0</v>
      </c>
    </row>
    <row r="14" spans="1:12" x14ac:dyDescent="0.3">
      <c r="F14">
        <f t="shared" si="0"/>
        <v>0</v>
      </c>
    </row>
    <row r="16" spans="1:12" x14ac:dyDescent="0.3">
      <c r="E16" t="s">
        <v>28</v>
      </c>
      <c r="F16">
        <f>SUM(F1:F14)</f>
        <v>14445</v>
      </c>
    </row>
  </sheetData>
  <mergeCells count="2">
    <mergeCell ref="B5:B6"/>
    <mergeCell ref="B8:B10"/>
  </mergeCells>
  <hyperlinks>
    <hyperlink ref="G7" r:id="rId1" xr:uid="{037A52D4-2536-465C-9A62-EF788E7DC8E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Anirudh A C-[BL.EN.U4RAE23003]</dc:creator>
  <cp:keywords/>
  <dc:description/>
  <cp:lastModifiedBy>Anirudh A C-[BL.EN.U4RAE23003]</cp:lastModifiedBy>
  <cp:revision/>
  <dcterms:created xsi:type="dcterms:W3CDTF">2026-02-09T13:50:38Z</dcterms:created>
  <dcterms:modified xsi:type="dcterms:W3CDTF">2026-03-23T12:49:24Z</dcterms:modified>
  <cp:category/>
  <cp:contentStatus/>
</cp:coreProperties>
</file>